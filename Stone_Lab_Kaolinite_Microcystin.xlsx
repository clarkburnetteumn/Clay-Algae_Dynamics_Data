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ndzo\Desktop\HAB\Yuan\Lake_Erie_field_site\"/>
    </mc:Choice>
  </mc:AlternateContent>
  <xr:revisionPtr revIDLastSave="0" documentId="8_{86BD86AC-3E8B-4E18-9FD7-7469F9B269BA}" xr6:coauthVersionLast="47" xr6:coauthVersionMax="47" xr10:uidLastSave="{00000000-0000-0000-0000-000000000000}"/>
  <bookViews>
    <workbookView xWindow="15975" yWindow="1530" windowWidth="35475" windowHeight="15285" xr2:uid="{C3CAB59A-59EA-49F5-B317-DB6D2CC67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G12" i="1"/>
  <c r="AD13" i="1"/>
  <c r="AD12" i="1"/>
  <c r="AB13" i="1"/>
  <c r="AB12" i="1"/>
  <c r="X13" i="1"/>
  <c r="X12" i="1"/>
  <c r="U13" i="1"/>
  <c r="U12" i="1"/>
  <c r="AH9" i="1"/>
  <c r="AH8" i="1"/>
  <c r="AH7" i="1"/>
  <c r="AG9" i="1"/>
  <c r="AG8" i="1"/>
  <c r="AG7" i="1"/>
  <c r="AE9" i="1"/>
  <c r="AE8" i="1"/>
  <c r="AE7" i="1"/>
  <c r="AD9" i="1"/>
  <c r="AD8" i="1"/>
  <c r="AD7" i="1"/>
  <c r="AB9" i="1"/>
  <c r="AB8" i="1"/>
  <c r="AB7" i="1"/>
  <c r="AA9" i="1"/>
  <c r="AA8" i="1"/>
  <c r="AA7" i="1"/>
  <c r="Y9" i="1"/>
  <c r="Y8" i="1"/>
  <c r="Y7" i="1"/>
  <c r="X9" i="1"/>
  <c r="X8" i="1"/>
  <c r="X7" i="1"/>
  <c r="V9" i="1"/>
  <c r="V8" i="1"/>
  <c r="V7" i="1"/>
  <c r="U9" i="1"/>
  <c r="U8" i="1"/>
  <c r="U7" i="1"/>
</calcChain>
</file>

<file path=xl/sharedStrings.xml><?xml version="1.0" encoding="utf-8"?>
<sst xmlns="http://schemas.openxmlformats.org/spreadsheetml/2006/main" count="90" uniqueCount="24">
  <si>
    <t>Chl (ug/L)</t>
  </si>
  <si>
    <t>Time (hrs)</t>
  </si>
  <si>
    <t>Control</t>
  </si>
  <si>
    <t xml:space="preserve">Tank 1, 6, 11 </t>
  </si>
  <si>
    <t xml:space="preserve">Tank 2,7, 12 </t>
  </si>
  <si>
    <t>Low</t>
  </si>
  <si>
    <t>DMSO</t>
  </si>
  <si>
    <t>DMSO-B</t>
  </si>
  <si>
    <t xml:space="preserve">Tank 3,8, 13 </t>
  </si>
  <si>
    <t>Opt</t>
  </si>
  <si>
    <t>Tank 4,19.14</t>
  </si>
  <si>
    <t>High</t>
  </si>
  <si>
    <t>Kaolinite</t>
  </si>
  <si>
    <t>MC (ug/L)</t>
  </si>
  <si>
    <t xml:space="preserve"> </t>
  </si>
  <si>
    <t>MC(ug/L)</t>
  </si>
  <si>
    <t>Top</t>
  </si>
  <si>
    <t>Tank 4,9.14</t>
  </si>
  <si>
    <t>Tank 5,10.15</t>
  </si>
  <si>
    <t>MC-SD</t>
  </si>
  <si>
    <t>Mix</t>
  </si>
  <si>
    <t>MC (ug/L) Average</t>
  </si>
  <si>
    <t>RE</t>
  </si>
  <si>
    <t>Lake Erie Data, Aug 26-27,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</si>
</sst>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 (ug/L)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Sheet1!$U$6</c:f>
              <c:strCache>
                <c:ptCount val="1"/>
                <c:pt idx="0">
                  <c:v>MC (ug/L)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482174103237094"/>
                  <c:y val="6.01633129192184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Sheet1!$T$7:$T$9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24</c:v>
                </c:pt>
              </c:numCache>
            </c:numRef>
          </c:xVal>
          <c:yVal>
            <c:numRef>
              <c:f>Sheet1!$U$7:$U$9</c:f>
              <c:numCache>
                <c:formatCode>General</c:formatCode>
                <c:ptCount val="3"/>
                <c:pt idx="0">
                  <c:v>1.0549999999999999</c:v>
                </c:pt>
                <c:pt idx="1">
                  <c:v>1.024</c:v>
                </c:pt>
                <c:pt idx="2">
                  <c:v>0.874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D-4B85-8800-787FB6FB3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86496"/>
        <c:axId val="1800300896"/>
      </c:scatterChart>
      <c:valAx>
        <c:axId val="18002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00896"/>
        <c:crosses val="autoZero"/>
        <c:crossBetween val="midCat"/>
      </c:valAx>
      <c:valAx>
        <c:axId val="180030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28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71437</xdr:colOff>
      <xdr:row>16</xdr:row>
      <xdr:rowOff>72033</xdr:rowOff>
    </xdr:from>
    <xdr:to>
      <xdr:col>33</xdr:col>
      <xdr:colOff>392906</xdr:colOff>
      <xdr:row>30</xdr:row>
      <xdr:rowOff>148233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6D9D7-EB7B-6AEF-DF73-32C281610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F17E-D7D1-4066-90E3-FBC008002FCE}">
  <dimension ref="A1:AH15"/>
  <sheetViews>
    <sheetView tabSelected="1" zoomScale="160" zoomScaleNormal="160" workbookViewId="0">
      <selection activeCell="D2" sqref="D2"/>
    </sheetView>
  </sheetViews>
  <sheetFormatPr defaultRowHeight="15" x14ac:dyDescent="0.25"/>
  <cols>
    <col min="1" max="1" width="13.85546875" customWidth="1"/>
  </cols>
  <sheetData>
    <row r="1" spans="1:34" ht="18.75" x14ac:dyDescent="0.3">
      <c r="A1" s="1" t="s">
        <v>23</v>
      </c>
      <c r="B1" s="1"/>
      <c r="C1" s="1"/>
    </row>
    <row r="3" spans="1:34" x14ac:dyDescent="0.25">
      <c r="A3" s="3" t="s">
        <v>12</v>
      </c>
      <c r="J3" s="5" t="s">
        <v>13</v>
      </c>
      <c r="T3" s="5" t="s">
        <v>21</v>
      </c>
    </row>
    <row r="4" spans="1:34" ht="18.75" x14ac:dyDescent="0.3">
      <c r="A4" s="1" t="s">
        <v>3</v>
      </c>
      <c r="B4" s="1"/>
      <c r="C4" s="1" t="s">
        <v>4</v>
      </c>
      <c r="E4" s="1" t="s">
        <v>8</v>
      </c>
      <c r="G4" s="1" t="s">
        <v>10</v>
      </c>
      <c r="J4" s="1" t="s">
        <v>3</v>
      </c>
      <c r="K4" s="1"/>
      <c r="L4" s="1" t="s">
        <v>4</v>
      </c>
      <c r="N4" s="1" t="s">
        <v>8</v>
      </c>
      <c r="P4" s="1" t="s">
        <v>17</v>
      </c>
      <c r="R4" s="1" t="s">
        <v>18</v>
      </c>
      <c r="T4" s="1" t="s">
        <v>3</v>
      </c>
      <c r="U4" s="1"/>
      <c r="V4" s="1"/>
      <c r="W4" s="1" t="s">
        <v>4</v>
      </c>
      <c r="Z4" s="1" t="s">
        <v>8</v>
      </c>
      <c r="AC4" s="1" t="s">
        <v>17</v>
      </c>
      <c r="AF4" s="1" t="s">
        <v>18</v>
      </c>
    </row>
    <row r="5" spans="1:34" x14ac:dyDescent="0.25">
      <c r="A5" s="3" t="s">
        <v>2</v>
      </c>
      <c r="B5" t="s">
        <v>6</v>
      </c>
      <c r="C5" s="3" t="s">
        <v>5</v>
      </c>
      <c r="D5" t="s">
        <v>7</v>
      </c>
      <c r="E5" s="3" t="s">
        <v>9</v>
      </c>
      <c r="F5" t="s">
        <v>7</v>
      </c>
      <c r="G5" s="3" t="s">
        <v>11</v>
      </c>
      <c r="H5" t="s">
        <v>7</v>
      </c>
      <c r="J5" s="3" t="s">
        <v>2</v>
      </c>
      <c r="K5" t="s">
        <v>16</v>
      </c>
      <c r="L5" s="3" t="s">
        <v>5</v>
      </c>
      <c r="M5" t="s">
        <v>16</v>
      </c>
      <c r="N5" s="3" t="s">
        <v>9</v>
      </c>
      <c r="O5" t="s">
        <v>16</v>
      </c>
      <c r="P5" s="3" t="s">
        <v>11</v>
      </c>
      <c r="Q5" t="s">
        <v>16</v>
      </c>
      <c r="R5" s="3" t="s">
        <v>20</v>
      </c>
      <c r="S5" t="s">
        <v>16</v>
      </c>
      <c r="T5" s="3" t="s">
        <v>2</v>
      </c>
      <c r="U5" t="s">
        <v>16</v>
      </c>
      <c r="W5" s="3" t="s">
        <v>5</v>
      </c>
      <c r="X5" t="s">
        <v>16</v>
      </c>
      <c r="Z5" s="3" t="s">
        <v>9</v>
      </c>
      <c r="AA5" t="s">
        <v>16</v>
      </c>
      <c r="AC5" s="3" t="s">
        <v>11</v>
      </c>
      <c r="AD5" t="s">
        <v>16</v>
      </c>
      <c r="AF5" s="3" t="s">
        <v>20</v>
      </c>
      <c r="AG5" t="s">
        <v>16</v>
      </c>
    </row>
    <row r="6" spans="1:34" x14ac:dyDescent="0.25">
      <c r="A6" t="s">
        <v>1</v>
      </c>
      <c r="B6" t="s">
        <v>0</v>
      </c>
      <c r="C6" t="s">
        <v>1</v>
      </c>
      <c r="D6" t="s">
        <v>0</v>
      </c>
      <c r="E6" t="s">
        <v>1</v>
      </c>
      <c r="F6" t="s">
        <v>0</v>
      </c>
      <c r="G6" t="s">
        <v>1</v>
      </c>
      <c r="H6" t="s">
        <v>0</v>
      </c>
      <c r="J6" t="s">
        <v>1</v>
      </c>
      <c r="K6" t="s">
        <v>13</v>
      </c>
      <c r="L6" t="s">
        <v>1</v>
      </c>
      <c r="M6" t="s">
        <v>13</v>
      </c>
      <c r="N6" t="s">
        <v>1</v>
      </c>
      <c r="O6" t="s">
        <v>13</v>
      </c>
      <c r="P6" t="s">
        <v>1</v>
      </c>
      <c r="Q6" t="s">
        <v>15</v>
      </c>
      <c r="R6" t="s">
        <v>1</v>
      </c>
      <c r="S6" t="s">
        <v>15</v>
      </c>
      <c r="T6" t="s">
        <v>1</v>
      </c>
      <c r="U6" t="s">
        <v>13</v>
      </c>
      <c r="V6" t="s">
        <v>19</v>
      </c>
      <c r="W6" t="s">
        <v>1</v>
      </c>
      <c r="X6" t="s">
        <v>13</v>
      </c>
      <c r="Y6" t="s">
        <v>19</v>
      </c>
      <c r="Z6" t="s">
        <v>1</v>
      </c>
      <c r="AA6" t="s">
        <v>13</v>
      </c>
      <c r="AB6" t="s">
        <v>19</v>
      </c>
      <c r="AC6" t="s">
        <v>1</v>
      </c>
      <c r="AD6" t="s">
        <v>15</v>
      </c>
      <c r="AE6" t="s">
        <v>19</v>
      </c>
      <c r="AF6" t="s">
        <v>1</v>
      </c>
      <c r="AG6" t="s">
        <v>15</v>
      </c>
      <c r="AH6" t="s">
        <v>19</v>
      </c>
    </row>
    <row r="7" spans="1:34" x14ac:dyDescent="0.25">
      <c r="A7">
        <v>0</v>
      </c>
      <c r="B7" s="2">
        <v>5.8505599999999998</v>
      </c>
      <c r="C7">
        <v>0</v>
      </c>
      <c r="D7" s="2">
        <v>4.0934400000000011</v>
      </c>
      <c r="E7">
        <v>0</v>
      </c>
      <c r="F7" s="2">
        <v>5.4515200000000013</v>
      </c>
      <c r="G7">
        <v>0</v>
      </c>
      <c r="H7" s="2">
        <v>5.4515200000000013</v>
      </c>
      <c r="I7" s="2"/>
      <c r="J7">
        <v>0</v>
      </c>
      <c r="K7" s="6">
        <v>1.1639999999999999</v>
      </c>
      <c r="L7">
        <v>0</v>
      </c>
      <c r="M7" s="6">
        <v>0.94499999999999995</v>
      </c>
      <c r="N7">
        <v>0</v>
      </c>
      <c r="O7" s="6">
        <v>1.105</v>
      </c>
      <c r="P7">
        <v>0</v>
      </c>
      <c r="Q7" s="6">
        <v>1.28</v>
      </c>
      <c r="R7">
        <v>0</v>
      </c>
      <c r="S7" s="6">
        <v>0.93300000000000005</v>
      </c>
      <c r="T7">
        <v>0</v>
      </c>
      <c r="U7" s="6">
        <f>AVERAGE(K7:K9)</f>
        <v>1.0549999999999999</v>
      </c>
      <c r="V7" s="6">
        <f>STDEV(K7:K9)</f>
        <v>0.14533065746772064</v>
      </c>
      <c r="W7">
        <v>0</v>
      </c>
      <c r="X7" s="6">
        <f>AVERAGE(M7:M9)</f>
        <v>1.0423333333333333</v>
      </c>
      <c r="Y7" s="6">
        <f>STDEV(M7:M9)</f>
        <v>0.1028899088022403</v>
      </c>
      <c r="Z7">
        <v>0</v>
      </c>
      <c r="AA7" s="6">
        <f>AVERAGE(O7:O9)</f>
        <v>1.2086666666666668</v>
      </c>
      <c r="AB7" s="6">
        <f>STDEV(O7:O9)</f>
        <v>0.13107377057723391</v>
      </c>
      <c r="AC7">
        <v>0</v>
      </c>
      <c r="AD7" s="6">
        <f>AVERAGE(Q7:Q9)</f>
        <v>1.069</v>
      </c>
      <c r="AE7" s="6">
        <f>STDEV(Q7:Q9)</f>
        <v>0.18695186546274348</v>
      </c>
      <c r="AF7">
        <v>0</v>
      </c>
      <c r="AG7" s="6">
        <f>AVERAGE(S7:S9)</f>
        <v>0.874</v>
      </c>
      <c r="AH7" s="6">
        <f>STDEV(S7:S9)</f>
        <v>0.11007724560507569</v>
      </c>
    </row>
    <row r="8" spans="1:34" x14ac:dyDescent="0.25">
      <c r="A8">
        <v>0</v>
      </c>
      <c r="B8" s="2">
        <v>5.7926399999999996</v>
      </c>
      <c r="C8">
        <v>0</v>
      </c>
      <c r="D8" s="2">
        <v>5.0267200000000001</v>
      </c>
      <c r="E8">
        <v>0</v>
      </c>
      <c r="F8" s="2">
        <v>5.7089600000000011</v>
      </c>
      <c r="G8">
        <v>0</v>
      </c>
      <c r="H8" s="2">
        <v>4.3766400000000001</v>
      </c>
      <c r="I8" s="2"/>
      <c r="J8">
        <v>0</v>
      </c>
      <c r="K8" s="6">
        <v>0.89</v>
      </c>
      <c r="L8">
        <v>0</v>
      </c>
      <c r="M8" s="6">
        <v>1.032</v>
      </c>
      <c r="N8">
        <v>0</v>
      </c>
      <c r="O8" s="6">
        <v>1.3560000000000001</v>
      </c>
      <c r="P8">
        <v>0</v>
      </c>
      <c r="Q8" s="6">
        <v>1.0029999999999999</v>
      </c>
      <c r="R8">
        <v>0</v>
      </c>
      <c r="S8" s="6">
        <v>0.94199999999999995</v>
      </c>
      <c r="T8">
        <v>3</v>
      </c>
      <c r="U8" s="6">
        <f>AVERAGE(K10:K12)</f>
        <v>1.024</v>
      </c>
      <c r="V8" s="6">
        <f>STDEV(K10:K12)</f>
        <v>0.21931712199461265</v>
      </c>
      <c r="W8">
        <v>3</v>
      </c>
      <c r="X8" s="6">
        <f>AVERAGE(M10:M12)</f>
        <v>0.23466666666666666</v>
      </c>
      <c r="Y8" s="6">
        <f>STDEV(M10:M12)</f>
        <v>2.9569128044860202E-2</v>
      </c>
      <c r="Z8">
        <v>3</v>
      </c>
      <c r="AA8" s="6">
        <f>AVERAGE(O10:O12)</f>
        <v>0.2203333333333333</v>
      </c>
      <c r="AB8" s="6">
        <f>STDEV(O10:O12)</f>
        <v>1.9553345834749953E-2</v>
      </c>
      <c r="AC8">
        <v>3</v>
      </c>
      <c r="AD8" s="6">
        <f>AVERAGE(Q10:Q12)</f>
        <v>0.19966666666666666</v>
      </c>
      <c r="AE8" s="6">
        <f>STDEV(Q10:Q12)</f>
        <v>1.9655363983740758E-2</v>
      </c>
      <c r="AF8">
        <v>3</v>
      </c>
      <c r="AG8" s="6">
        <f>AVERAGE(S10:S12)</f>
        <v>0.66433333333333344</v>
      </c>
      <c r="AH8" s="6">
        <f>STDEV(S10:S12)</f>
        <v>1.3576941236277546E-2</v>
      </c>
    </row>
    <row r="9" spans="1:34" x14ac:dyDescent="0.25">
      <c r="A9">
        <v>0</v>
      </c>
      <c r="B9" s="2">
        <v>3.9518400000000002</v>
      </c>
      <c r="C9">
        <v>0</v>
      </c>
      <c r="D9" s="2">
        <v>3.9518400000000002</v>
      </c>
      <c r="E9">
        <v>0</v>
      </c>
      <c r="F9" s="2">
        <v>5.0846400000000003</v>
      </c>
      <c r="G9">
        <v>0</v>
      </c>
      <c r="H9" s="2">
        <v>5.1104000000000003</v>
      </c>
      <c r="I9" s="2"/>
      <c r="J9">
        <v>0</v>
      </c>
      <c r="K9" s="6">
        <v>1.111</v>
      </c>
      <c r="L9">
        <v>0</v>
      </c>
      <c r="M9" s="6">
        <v>1.1499999999999999</v>
      </c>
      <c r="N9">
        <v>0</v>
      </c>
      <c r="O9" s="6">
        <v>1.165</v>
      </c>
      <c r="P9">
        <v>0</v>
      </c>
      <c r="Q9" s="6">
        <v>0.92400000000000004</v>
      </c>
      <c r="R9">
        <v>0</v>
      </c>
      <c r="S9" s="6">
        <v>0.747</v>
      </c>
      <c r="T9">
        <v>24</v>
      </c>
      <c r="U9" s="6">
        <f>AVERAGE(K13:K15)</f>
        <v>0.874</v>
      </c>
      <c r="V9" s="6">
        <f>STDEV(K13:K15)</f>
        <v>0.17386489007272302</v>
      </c>
      <c r="W9">
        <v>24</v>
      </c>
      <c r="X9" s="6">
        <f>AVERAGE(M13:M15)</f>
        <v>0.26666666666666666</v>
      </c>
      <c r="Y9" s="6">
        <f>STDEV(M13:M15)</f>
        <v>1.7953644012660294E-2</v>
      </c>
      <c r="Z9">
        <v>24</v>
      </c>
      <c r="AA9" s="6">
        <f>AVERAGE(O13:O15)</f>
        <v>0.28500000000000003</v>
      </c>
      <c r="AB9" s="6">
        <f>STDEV(O13:O15)</f>
        <v>4.2461747491124115E-2</v>
      </c>
      <c r="AC9">
        <v>24</v>
      </c>
      <c r="AD9" s="6">
        <f>AVERAGE(Q13:Q15)</f>
        <v>0.24399999999999999</v>
      </c>
      <c r="AE9" s="6">
        <f>STDEV(Q13:Q15)</f>
        <v>1.9672315572906003E-2</v>
      </c>
      <c r="AF9">
        <v>24</v>
      </c>
      <c r="AG9" s="6">
        <f>AVERAGE(S13:S15)</f>
        <v>0.75066666666666659</v>
      </c>
      <c r="AH9" s="6">
        <f>STDEV(S13:S15)</f>
        <v>3.4428670223134311E-2</v>
      </c>
    </row>
    <row r="10" spans="1:34" x14ac:dyDescent="0.25">
      <c r="A10">
        <v>3</v>
      </c>
      <c r="B10" s="2">
        <v>6.0500800000000003</v>
      </c>
      <c r="C10">
        <v>3</v>
      </c>
      <c r="D10" s="2">
        <v>1.9312000000000007</v>
      </c>
      <c r="E10">
        <v>3</v>
      </c>
      <c r="F10">
        <v>0</v>
      </c>
      <c r="G10">
        <v>3</v>
      </c>
      <c r="H10" s="2">
        <v>0</v>
      </c>
      <c r="I10" s="2"/>
      <c r="J10">
        <v>3</v>
      </c>
      <c r="K10" s="6">
        <v>1.1839999999999999</v>
      </c>
      <c r="L10">
        <v>3</v>
      </c>
      <c r="M10" s="6">
        <v>0.20399999999999999</v>
      </c>
      <c r="N10">
        <v>3</v>
      </c>
      <c r="O10" s="6">
        <v>0.215</v>
      </c>
      <c r="P10">
        <v>3</v>
      </c>
      <c r="Q10" s="6">
        <v>0.222</v>
      </c>
      <c r="R10">
        <v>3</v>
      </c>
      <c r="S10" s="6">
        <v>0.65700000000000003</v>
      </c>
      <c r="T10" t="s">
        <v>14</v>
      </c>
      <c r="U10" s="6" t="s">
        <v>14</v>
      </c>
      <c r="V10" s="6"/>
      <c r="W10" t="s">
        <v>14</v>
      </c>
      <c r="X10" s="6" t="s">
        <v>14</v>
      </c>
      <c r="Y10" s="6"/>
      <c r="Z10" t="s">
        <v>14</v>
      </c>
      <c r="AA10" s="6" t="s">
        <v>14</v>
      </c>
      <c r="AB10" s="6"/>
      <c r="AC10" t="s">
        <v>14</v>
      </c>
      <c r="AD10" s="6" t="s">
        <v>14</v>
      </c>
      <c r="AE10" s="6"/>
      <c r="AF10" t="s">
        <v>14</v>
      </c>
      <c r="AG10" s="6" t="s">
        <v>14</v>
      </c>
    </row>
    <row r="11" spans="1:34" x14ac:dyDescent="0.25">
      <c r="A11">
        <v>3</v>
      </c>
      <c r="B11" s="2">
        <v>5.93424</v>
      </c>
      <c r="C11">
        <v>3</v>
      </c>
      <c r="D11" s="2">
        <v>0</v>
      </c>
      <c r="E11">
        <v>3</v>
      </c>
      <c r="F11" s="2">
        <v>2.4464000000000006</v>
      </c>
      <c r="G11">
        <v>3</v>
      </c>
      <c r="H11" s="2">
        <v>0</v>
      </c>
      <c r="I11" s="2"/>
      <c r="J11">
        <v>3</v>
      </c>
      <c r="K11" s="6">
        <v>0.77400000000000002</v>
      </c>
      <c r="L11">
        <v>3</v>
      </c>
      <c r="M11" s="6">
        <v>0.26300000000000001</v>
      </c>
      <c r="N11">
        <v>3</v>
      </c>
      <c r="O11" s="6">
        <v>0.24199999999999999</v>
      </c>
      <c r="P11">
        <v>3</v>
      </c>
      <c r="Q11" s="6">
        <v>0.192</v>
      </c>
      <c r="R11">
        <v>3</v>
      </c>
      <c r="S11" s="6">
        <v>0.68</v>
      </c>
      <c r="U11" t="s">
        <v>22</v>
      </c>
    </row>
    <row r="12" spans="1:34" x14ac:dyDescent="0.25">
      <c r="A12">
        <v>3</v>
      </c>
      <c r="B12" s="2">
        <v>4.975200000000001</v>
      </c>
      <c r="C12">
        <v>3</v>
      </c>
      <c r="D12" s="2">
        <v>0</v>
      </c>
      <c r="E12">
        <v>3</v>
      </c>
      <c r="F12" s="2">
        <v>5.6000000000000014</v>
      </c>
      <c r="G12">
        <v>3</v>
      </c>
      <c r="H12" s="2">
        <v>0</v>
      </c>
      <c r="I12" s="2"/>
      <c r="J12">
        <v>3</v>
      </c>
      <c r="K12" s="6">
        <v>1.1140000000000001</v>
      </c>
      <c r="L12">
        <v>3</v>
      </c>
      <c r="M12" s="6">
        <v>0.23699999999999999</v>
      </c>
      <c r="N12">
        <v>3</v>
      </c>
      <c r="O12" s="6">
        <v>0.20399999999999999</v>
      </c>
      <c r="P12">
        <v>3</v>
      </c>
      <c r="Q12" s="6">
        <v>0.185</v>
      </c>
      <c r="R12">
        <v>3</v>
      </c>
      <c r="S12" s="6">
        <v>0.65600000000000003</v>
      </c>
      <c r="U12">
        <f>(U$7-U8)/U$7*100</f>
        <v>2.9383886255924092</v>
      </c>
      <c r="X12">
        <f>(X$7-X8)/X$7*100</f>
        <v>77.486408698432996</v>
      </c>
      <c r="AB12">
        <f>(AB$7-AB8)/AB$7*100</f>
        <v>85.082182538398612</v>
      </c>
      <c r="AD12">
        <f>(AD$7-AD8)/AD$7*100</f>
        <v>81.322107888992818</v>
      </c>
      <c r="AG12">
        <f>(AG$7-AG8)/AG$7*100</f>
        <v>23.989321128909218</v>
      </c>
    </row>
    <row r="13" spans="1:34" x14ac:dyDescent="0.25">
      <c r="A13">
        <v>24</v>
      </c>
      <c r="B13" s="2">
        <v>5.7732800000000006</v>
      </c>
      <c r="C13">
        <v>24</v>
      </c>
      <c r="D13" s="2">
        <v>1.1104000000000005</v>
      </c>
      <c r="E13">
        <v>24</v>
      </c>
      <c r="F13" s="2">
        <v>0</v>
      </c>
      <c r="G13">
        <v>24</v>
      </c>
      <c r="H13" s="2">
        <v>0</v>
      </c>
      <c r="I13" s="2"/>
      <c r="J13">
        <v>24</v>
      </c>
      <c r="K13" s="6">
        <v>1.0409999999999999</v>
      </c>
      <c r="L13">
        <v>24</v>
      </c>
      <c r="M13" s="6">
        <v>0.26</v>
      </c>
      <c r="N13">
        <v>24</v>
      </c>
      <c r="O13" s="6">
        <v>0.26200000000000001</v>
      </c>
      <c r="P13">
        <v>24</v>
      </c>
      <c r="Q13" s="6">
        <v>0.26200000000000001</v>
      </c>
      <c r="R13">
        <v>24</v>
      </c>
      <c r="S13" s="6">
        <v>0.71199999999999997</v>
      </c>
      <c r="U13">
        <f>(U$7-U9)/U$7*100</f>
        <v>17.156398104265396</v>
      </c>
      <c r="X13">
        <f>(X$7-X9)/X$7*100</f>
        <v>74.416373520946593</v>
      </c>
      <c r="AB13">
        <f>(AB$7-AB9)/AB$7*100</f>
        <v>67.604695200170539</v>
      </c>
      <c r="AD13">
        <f>(AD$7-AD9)/AD$7*100</f>
        <v>77.174929840972879</v>
      </c>
      <c r="AG13">
        <f>(AG$7-AG9)/AG$7*100</f>
        <v>14.111365369946613</v>
      </c>
    </row>
    <row r="14" spans="1:34" x14ac:dyDescent="0.25">
      <c r="A14">
        <v>24</v>
      </c>
      <c r="B14" s="2">
        <v>5.3678400000000011</v>
      </c>
      <c r="C14">
        <v>24</v>
      </c>
      <c r="D14" s="2">
        <v>0</v>
      </c>
      <c r="E14">
        <v>24</v>
      </c>
      <c r="F14" s="2">
        <v>6.5664000000000033</v>
      </c>
      <c r="G14">
        <v>24</v>
      </c>
      <c r="H14" s="2">
        <v>1.0304000000000002</v>
      </c>
      <c r="I14" s="2"/>
      <c r="J14">
        <v>24</v>
      </c>
      <c r="K14" s="6">
        <v>0.69399999999999995</v>
      </c>
      <c r="L14">
        <v>24</v>
      </c>
      <c r="M14" s="6">
        <v>0.253</v>
      </c>
      <c r="N14">
        <v>24</v>
      </c>
      <c r="O14" s="6">
        <v>0.33400000000000002</v>
      </c>
      <c r="P14">
        <v>24</v>
      </c>
      <c r="Q14" s="6">
        <v>0.223</v>
      </c>
      <c r="R14">
        <v>24</v>
      </c>
      <c r="S14" s="6">
        <v>0.77800000000000002</v>
      </c>
    </row>
    <row r="15" spans="1:34" x14ac:dyDescent="0.25">
      <c r="A15">
        <v>24</v>
      </c>
      <c r="B15" s="2">
        <v>5.5094400000000014</v>
      </c>
      <c r="C15">
        <v>24</v>
      </c>
      <c r="D15" s="2">
        <v>0</v>
      </c>
      <c r="E15">
        <v>24</v>
      </c>
      <c r="F15" s="4">
        <v>0</v>
      </c>
      <c r="G15">
        <v>24</v>
      </c>
      <c r="H15" s="4">
        <v>0</v>
      </c>
      <c r="I15" s="4"/>
      <c r="J15">
        <v>24</v>
      </c>
      <c r="K15" s="6">
        <v>0.88700000000000001</v>
      </c>
      <c r="L15">
        <v>24</v>
      </c>
      <c r="M15" s="6">
        <v>0.28699999999999998</v>
      </c>
      <c r="N15">
        <v>24</v>
      </c>
      <c r="O15" s="6">
        <v>0.25900000000000001</v>
      </c>
      <c r="P15">
        <v>24</v>
      </c>
      <c r="Q15" s="6">
        <v>0.247</v>
      </c>
      <c r="R15">
        <v>24</v>
      </c>
      <c r="S15" s="6">
        <v>0.76200000000000001</v>
      </c>
    </row>
  </sheetData>
  <conditionalFormatting sqref="B7">
    <cfRule type="cellIs" dxfId="126" priority="70" operator="lessThan">
      <formula>0</formula>
    </cfRule>
  </conditionalFormatting>
  <conditionalFormatting sqref="B8">
    <cfRule type="cellIs" dxfId="124" priority="69" operator="lessThan">
      <formula>0</formula>
    </cfRule>
  </conditionalFormatting>
  <conditionalFormatting sqref="B9">
    <cfRule type="cellIs" dxfId="122" priority="68" operator="lessThan">
      <formula>0</formula>
    </cfRule>
  </conditionalFormatting>
  <conditionalFormatting sqref="B10">
    <cfRule type="cellIs" dxfId="120" priority="67" operator="lessThan">
      <formula>0</formula>
    </cfRule>
  </conditionalFormatting>
  <conditionalFormatting sqref="B11">
    <cfRule type="cellIs" dxfId="119" priority="66" operator="lessThan">
      <formula>0</formula>
    </cfRule>
  </conditionalFormatting>
  <conditionalFormatting sqref="B12">
    <cfRule type="cellIs" dxfId="117" priority="65" operator="lessThan">
      <formula>0</formula>
    </cfRule>
  </conditionalFormatting>
  <conditionalFormatting sqref="B13">
    <cfRule type="cellIs" dxfId="116" priority="64" operator="lessThan">
      <formula>0</formula>
    </cfRule>
  </conditionalFormatting>
  <conditionalFormatting sqref="B14">
    <cfRule type="cellIs" dxfId="114" priority="63" operator="lessThan">
      <formula>0</formula>
    </cfRule>
  </conditionalFormatting>
  <conditionalFormatting sqref="B15">
    <cfRule type="cellIs" dxfId="112" priority="62" operator="lessThan">
      <formula>0</formula>
    </cfRule>
  </conditionalFormatting>
  <conditionalFormatting sqref="D7">
    <cfRule type="cellIs" dxfId="109" priority="61" operator="lessThan">
      <formula>0</formula>
    </cfRule>
  </conditionalFormatting>
  <conditionalFormatting sqref="D8">
    <cfRule type="cellIs" dxfId="108" priority="60" operator="lessThan">
      <formula>0</formula>
    </cfRule>
  </conditionalFormatting>
  <conditionalFormatting sqref="D9">
    <cfRule type="cellIs" dxfId="106" priority="59" operator="lessThan">
      <formula>0</formula>
    </cfRule>
  </conditionalFormatting>
  <conditionalFormatting sqref="D10">
    <cfRule type="cellIs" dxfId="105" priority="58" operator="lessThan">
      <formula>0</formula>
    </cfRule>
  </conditionalFormatting>
  <conditionalFormatting sqref="D11">
    <cfRule type="cellIs" dxfId="103" priority="57" operator="lessThan">
      <formula>0</formula>
    </cfRule>
  </conditionalFormatting>
  <conditionalFormatting sqref="D12">
    <cfRule type="cellIs" dxfId="102" priority="56" operator="lessThan">
      <formula>0</formula>
    </cfRule>
  </conditionalFormatting>
  <conditionalFormatting sqref="D13">
    <cfRule type="cellIs" dxfId="101" priority="55" operator="lessThan">
      <formula>0</formula>
    </cfRule>
  </conditionalFormatting>
  <conditionalFormatting sqref="D14">
    <cfRule type="cellIs" dxfId="99" priority="54" operator="lessThan">
      <formula>0</formula>
    </cfRule>
  </conditionalFormatting>
  <conditionalFormatting sqref="D15">
    <cfRule type="cellIs" dxfId="97" priority="53" operator="lessThan">
      <formula>0</formula>
    </cfRule>
  </conditionalFormatting>
  <conditionalFormatting sqref="F7">
    <cfRule type="cellIs" dxfId="95" priority="52" operator="lessThan">
      <formula>0</formula>
    </cfRule>
  </conditionalFormatting>
  <conditionalFormatting sqref="F8">
    <cfRule type="cellIs" dxfId="94" priority="51" operator="lessThan">
      <formula>0</formula>
    </cfRule>
  </conditionalFormatting>
  <conditionalFormatting sqref="F9">
    <cfRule type="cellIs" dxfId="92" priority="50" operator="lessThan">
      <formula>0</formula>
    </cfRule>
  </conditionalFormatting>
  <conditionalFormatting sqref="F11">
    <cfRule type="cellIs" dxfId="90" priority="49" operator="lessThan">
      <formula>0</formula>
    </cfRule>
  </conditionalFormatting>
  <conditionalFormatting sqref="F12">
    <cfRule type="cellIs" dxfId="88" priority="48" operator="lessThan">
      <formula>0</formula>
    </cfRule>
  </conditionalFormatting>
  <conditionalFormatting sqref="F13">
    <cfRule type="cellIs" dxfId="86" priority="47" operator="lessThan">
      <formula>0</formula>
    </cfRule>
  </conditionalFormatting>
  <conditionalFormatting sqref="F14">
    <cfRule type="cellIs" dxfId="84" priority="46" operator="lessThan">
      <formula>0</formula>
    </cfRule>
  </conditionalFormatting>
  <conditionalFormatting sqref="F15">
    <cfRule type="cellIs" dxfId="82" priority="45" operator="lessThan">
      <formula>0</formula>
    </cfRule>
  </conditionalFormatting>
  <conditionalFormatting sqref="H7:I7">
    <cfRule type="cellIs" dxfId="81" priority="44" operator="lessThan">
      <formula>0</formula>
    </cfRule>
  </conditionalFormatting>
  <conditionalFormatting sqref="H8:I8">
    <cfRule type="cellIs" dxfId="80" priority="43" operator="lessThan">
      <formula>0</formula>
    </cfRule>
  </conditionalFormatting>
  <conditionalFormatting sqref="H9:I9">
    <cfRule type="cellIs" dxfId="79" priority="42" operator="lessThan">
      <formula>0</formula>
    </cfRule>
  </conditionalFormatting>
  <conditionalFormatting sqref="H10:I10">
    <cfRule type="cellIs" dxfId="78" priority="41" operator="lessThan">
      <formula>0</formula>
    </cfRule>
  </conditionalFormatting>
  <conditionalFormatting sqref="H11:I11">
    <cfRule type="cellIs" dxfId="76" priority="40" operator="lessThan">
      <formula>0</formula>
    </cfRule>
  </conditionalFormatting>
  <conditionalFormatting sqref="H12:I12">
    <cfRule type="cellIs" dxfId="74" priority="39" operator="lessThan">
      <formula>0</formula>
    </cfRule>
  </conditionalFormatting>
  <conditionalFormatting sqref="H13:I13">
    <cfRule type="cellIs" dxfId="73" priority="38" operator="lessThan">
      <formula>0</formula>
    </cfRule>
  </conditionalFormatting>
  <conditionalFormatting sqref="H14:I14">
    <cfRule type="cellIs" dxfId="72" priority="37" operator="lessThan">
      <formula>0</formula>
    </cfRule>
  </conditionalFormatting>
  <conditionalFormatting sqref="H15:I15">
    <cfRule type="cellIs" dxfId="70" priority="36" operator="lessThan">
      <formula>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Hondzo</dc:creator>
  <cp:lastModifiedBy>Miki Hondzo</cp:lastModifiedBy>
  <dcterms:created xsi:type="dcterms:W3CDTF">2025-11-01T14:33:31Z</dcterms:created>
  <dcterms:modified xsi:type="dcterms:W3CDTF">2025-11-01T19:43:02Z</dcterms:modified>
</cp:coreProperties>
</file>