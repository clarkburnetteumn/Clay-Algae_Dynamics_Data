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ondzo\Desktop\HAB\Yuan\Lake_Erie_field_site\"/>
    </mc:Choice>
  </mc:AlternateContent>
  <xr:revisionPtr revIDLastSave="0" documentId="13_ncr:1_{D4C98087-66B3-46D2-98A9-B6D5E39468A9}" xr6:coauthVersionLast="47" xr6:coauthVersionMax="47" xr10:uidLastSave="{00000000-0000-0000-0000-000000000000}"/>
  <bookViews>
    <workbookView xWindow="15495" yWindow="1170" windowWidth="35340" windowHeight="13590" xr2:uid="{C3CAB59A-59EA-49F5-B317-DB6D2CC67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AH9" i="1"/>
  <c r="AH8" i="1"/>
  <c r="AH7" i="1"/>
  <c r="AG9" i="1"/>
  <c r="AG8" i="1"/>
  <c r="AG7" i="1"/>
  <c r="AE9" i="1"/>
  <c r="AE8" i="1"/>
  <c r="AE7" i="1"/>
  <c r="AD9" i="1"/>
  <c r="AD8" i="1"/>
  <c r="AD7" i="1"/>
  <c r="AB9" i="1"/>
  <c r="AB8" i="1"/>
  <c r="AB7" i="1"/>
  <c r="AA9" i="1"/>
  <c r="AA8" i="1"/>
  <c r="AA7" i="1"/>
  <c r="Y9" i="1"/>
  <c r="Y8" i="1"/>
  <c r="Y7" i="1"/>
  <c r="X9" i="1"/>
  <c r="X8" i="1"/>
  <c r="X7" i="1"/>
  <c r="V9" i="1"/>
  <c r="V8" i="1"/>
  <c r="U9" i="1"/>
  <c r="U8" i="1"/>
  <c r="AG12" i="1" l="1"/>
  <c r="AD13" i="1"/>
  <c r="AB13" i="1"/>
  <c r="X13" i="1"/>
  <c r="U13" i="1"/>
  <c r="AB12" i="1"/>
  <c r="AG13" i="1"/>
  <c r="AD12" i="1"/>
  <c r="X12" i="1"/>
  <c r="U12" i="1"/>
</calcChain>
</file>

<file path=xl/sharedStrings.xml><?xml version="1.0" encoding="utf-8"?>
<sst xmlns="http://schemas.openxmlformats.org/spreadsheetml/2006/main" count="70" uniqueCount="20">
  <si>
    <t>Time (hrs)</t>
  </si>
  <si>
    <t>Control</t>
  </si>
  <si>
    <t xml:space="preserve">Tank 1, 6, 11 </t>
  </si>
  <si>
    <t xml:space="preserve">Tank 2,7, 12 </t>
  </si>
  <si>
    <t>Low</t>
  </si>
  <si>
    <t xml:space="preserve">Tank 3,8, 13 </t>
  </si>
  <si>
    <t>Opt</t>
  </si>
  <si>
    <t>High</t>
  </si>
  <si>
    <t>MC (ug/L)</t>
  </si>
  <si>
    <t xml:space="preserve"> </t>
  </si>
  <si>
    <t>MC(ug/L)</t>
  </si>
  <si>
    <t>Top</t>
  </si>
  <si>
    <t>Tank 4,9.14</t>
  </si>
  <si>
    <t>Tank 5,10.15</t>
  </si>
  <si>
    <t>MC-SD</t>
  </si>
  <si>
    <t>Mix</t>
  </si>
  <si>
    <t>MC (ug/L) Average</t>
  </si>
  <si>
    <t>RE</t>
  </si>
  <si>
    <t>Lake Erie Data, Aug 26-27, 2025</t>
  </si>
  <si>
    <t>Laponite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</si>
</sst>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 applyAlignment="1">
      <alignment horizontal="center" vertic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 (ug/L) 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Sheet1!$U$6</c:f>
              <c:strCache>
                <c:ptCount val="1"/>
                <c:pt idx="0">
                  <c:v>MC (ug/L)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482174103237094"/>
                  <c:y val="6.01633129192184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Sheet1!$T$7:$T$9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24</c:v>
                </c:pt>
              </c:numCache>
            </c:numRef>
          </c:xVal>
          <c:yVal>
            <c:numRef>
              <c:f>Sheet1!$U$7:$U$9</c:f>
              <c:numCache>
                <c:formatCode>General</c:formatCode>
                <c:ptCount val="3"/>
                <c:pt idx="0">
                  <c:v>0.81300000000000006</c:v>
                </c:pt>
                <c:pt idx="1">
                  <c:v>0.67766666666666675</c:v>
                </c:pt>
                <c:pt idx="2">
                  <c:v>0.39866666666666667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D-4B85-8800-787FB6FB3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286496"/>
        <c:axId val="1800300896"/>
      </c:scatterChart>
      <c:valAx>
        <c:axId val="180028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00896"/>
        <c:crosses val="autoZero"/>
        <c:crossBetween val="midCat"/>
      </c:valAx>
      <c:valAx>
        <c:axId val="180030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28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71437</xdr:colOff>
      <xdr:row>16</xdr:row>
      <xdr:rowOff>72033</xdr:rowOff>
    </xdr:from>
    <xdr:to>
      <xdr:col>33</xdr:col>
      <xdr:colOff>392906</xdr:colOff>
      <xdr:row>30</xdr:row>
      <xdr:rowOff>148233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6D9D7-EB7B-6AEF-DF73-32C281610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F17E-D7D1-4066-90E3-FBC008002FCE}">
  <dimension ref="A1:AH15"/>
  <sheetViews>
    <sheetView tabSelected="1" topLeftCell="H1" zoomScale="160" zoomScaleNormal="160" workbookViewId="0">
      <selection activeCell="X13" sqref="X13"/>
    </sheetView>
  </sheetViews>
  <sheetFormatPr defaultRowHeight="15" x14ac:dyDescent="0.25"/>
  <cols>
    <col min="1" max="1" width="13.85546875" customWidth="1"/>
  </cols>
  <sheetData>
    <row r="1" spans="1:34" ht="18.75" x14ac:dyDescent="0.3">
      <c r="A1" s="1" t="s">
        <v>18</v>
      </c>
      <c r="B1" s="1"/>
      <c r="C1" s="1"/>
    </row>
    <row r="3" spans="1:34" x14ac:dyDescent="0.25">
      <c r="A3" s="3" t="s">
        <v>19</v>
      </c>
      <c r="J3" s="5" t="s">
        <v>8</v>
      </c>
      <c r="T3" s="5" t="s">
        <v>16</v>
      </c>
    </row>
    <row r="4" spans="1:34" ht="18.75" x14ac:dyDescent="0.3">
      <c r="A4" s="1"/>
      <c r="B4" s="1"/>
      <c r="C4" s="1"/>
      <c r="E4" s="1"/>
      <c r="G4" s="1"/>
      <c r="J4" s="1" t="s">
        <v>2</v>
      </c>
      <c r="K4" s="1"/>
      <c r="L4" s="1" t="s">
        <v>3</v>
      </c>
      <c r="N4" s="1" t="s">
        <v>5</v>
      </c>
      <c r="P4" s="1" t="s">
        <v>12</v>
      </c>
      <c r="R4" s="1" t="s">
        <v>13</v>
      </c>
      <c r="T4" s="1" t="s">
        <v>2</v>
      </c>
      <c r="U4" s="1"/>
      <c r="V4" s="1"/>
      <c r="W4" s="1" t="s">
        <v>3</v>
      </c>
      <c r="Z4" s="1" t="s">
        <v>5</v>
      </c>
      <c r="AC4" s="1" t="s">
        <v>12</v>
      </c>
      <c r="AF4" s="1" t="s">
        <v>13</v>
      </c>
    </row>
    <row r="5" spans="1:34" x14ac:dyDescent="0.25">
      <c r="A5" s="3"/>
      <c r="C5" s="3"/>
      <c r="E5" s="3"/>
      <c r="G5" s="3"/>
      <c r="J5" s="3" t="s">
        <v>1</v>
      </c>
      <c r="K5" t="s">
        <v>11</v>
      </c>
      <c r="L5" s="3" t="s">
        <v>4</v>
      </c>
      <c r="M5" t="s">
        <v>11</v>
      </c>
      <c r="N5" s="3" t="s">
        <v>6</v>
      </c>
      <c r="O5" t="s">
        <v>11</v>
      </c>
      <c r="P5" s="3" t="s">
        <v>7</v>
      </c>
      <c r="Q5" t="s">
        <v>11</v>
      </c>
      <c r="R5" s="3" t="s">
        <v>15</v>
      </c>
      <c r="S5" t="s">
        <v>11</v>
      </c>
      <c r="T5" s="3" t="s">
        <v>1</v>
      </c>
      <c r="U5" t="s">
        <v>11</v>
      </c>
      <c r="W5" s="3" t="s">
        <v>4</v>
      </c>
      <c r="X5" t="s">
        <v>11</v>
      </c>
      <c r="Z5" s="3" t="s">
        <v>6</v>
      </c>
      <c r="AA5" t="s">
        <v>11</v>
      </c>
      <c r="AC5" s="3" t="s">
        <v>7</v>
      </c>
      <c r="AD5" t="s">
        <v>11</v>
      </c>
      <c r="AF5" s="3" t="s">
        <v>15</v>
      </c>
      <c r="AG5" t="s">
        <v>11</v>
      </c>
    </row>
    <row r="6" spans="1:34" x14ac:dyDescent="0.25">
      <c r="J6" t="s">
        <v>0</v>
      </c>
      <c r="K6" t="s">
        <v>8</v>
      </c>
      <c r="L6" t="s">
        <v>0</v>
      </c>
      <c r="M6" t="s">
        <v>8</v>
      </c>
      <c r="N6" t="s">
        <v>0</v>
      </c>
      <c r="O6" t="s">
        <v>8</v>
      </c>
      <c r="P6" t="s">
        <v>0</v>
      </c>
      <c r="Q6" t="s">
        <v>10</v>
      </c>
      <c r="R6" t="s">
        <v>0</v>
      </c>
      <c r="S6" t="s">
        <v>10</v>
      </c>
      <c r="T6" t="s">
        <v>0</v>
      </c>
      <c r="U6" t="s">
        <v>8</v>
      </c>
      <c r="V6" t="s">
        <v>14</v>
      </c>
      <c r="W6" t="s">
        <v>0</v>
      </c>
      <c r="X6" t="s">
        <v>8</v>
      </c>
      <c r="Y6" t="s">
        <v>14</v>
      </c>
      <c r="Z6" t="s">
        <v>0</v>
      </c>
      <c r="AA6" t="s">
        <v>8</v>
      </c>
      <c r="AB6" t="s">
        <v>14</v>
      </c>
      <c r="AC6" t="s">
        <v>0</v>
      </c>
      <c r="AD6" t="s">
        <v>10</v>
      </c>
      <c r="AE6" t="s">
        <v>14</v>
      </c>
      <c r="AF6" t="s">
        <v>0</v>
      </c>
      <c r="AG6" t="s">
        <v>10</v>
      </c>
      <c r="AH6" t="s">
        <v>14</v>
      </c>
    </row>
    <row r="7" spans="1:34" x14ac:dyDescent="0.25">
      <c r="B7" s="2"/>
      <c r="D7" s="2"/>
      <c r="F7" s="2"/>
      <c r="H7" s="2"/>
      <c r="I7" s="2"/>
      <c r="J7">
        <v>0</v>
      </c>
      <c r="K7">
        <v>0.747</v>
      </c>
      <c r="L7">
        <v>0</v>
      </c>
      <c r="M7" s="6">
        <v>0.72399999999999998</v>
      </c>
      <c r="N7">
        <v>0</v>
      </c>
      <c r="O7" s="6">
        <v>0.85699999999999998</v>
      </c>
      <c r="P7">
        <v>0</v>
      </c>
      <c r="Q7" s="6">
        <v>0.89800000000000002</v>
      </c>
      <c r="R7">
        <v>0</v>
      </c>
      <c r="S7" s="6">
        <v>0.79300000000000004</v>
      </c>
      <c r="T7">
        <v>0</v>
      </c>
      <c r="U7" s="6">
        <f>AVERAGE(K7:K9)</f>
        <v>0.81300000000000006</v>
      </c>
      <c r="V7" s="6">
        <f>STDEV(K7:K9)</f>
        <v>8.0721744282442262E-2</v>
      </c>
      <c r="W7">
        <v>0</v>
      </c>
      <c r="X7" s="6">
        <f>AVERAGE(M7:M9)</f>
        <v>0.84366666666666668</v>
      </c>
      <c r="Y7" s="6">
        <f>STDEV(M7:M9)</f>
        <v>0.14297668807652955</v>
      </c>
      <c r="Z7">
        <v>0</v>
      </c>
      <c r="AA7" s="6">
        <f>AVERAGE(O7:O9)</f>
        <v>0.85366666666666668</v>
      </c>
      <c r="AB7" s="6">
        <f>STDEV(O7:O9)</f>
        <v>5.7735026918962623E-3</v>
      </c>
      <c r="AC7">
        <v>0</v>
      </c>
      <c r="AD7" s="6">
        <f>AVERAGE(Q7:Q9)</f>
        <v>0.84900000000000009</v>
      </c>
      <c r="AE7" s="6">
        <f>STDEV(Q7:Q9)</f>
        <v>5.9354865007006784E-2</v>
      </c>
      <c r="AF7">
        <v>0</v>
      </c>
      <c r="AG7" s="6">
        <f>AVERAGE(S7:S9)</f>
        <v>0.71766666666666667</v>
      </c>
      <c r="AH7" s="6">
        <f>STDEV(S7:S9)</f>
        <v>6.5431898439013161E-2</v>
      </c>
    </row>
    <row r="8" spans="1:34" x14ac:dyDescent="0.25">
      <c r="B8" s="2"/>
      <c r="D8" s="2"/>
      <c r="F8" s="2"/>
      <c r="H8" s="2"/>
      <c r="I8" s="2"/>
      <c r="J8">
        <v>0</v>
      </c>
      <c r="K8">
        <v>0.90300000000000002</v>
      </c>
      <c r="L8">
        <v>0</v>
      </c>
      <c r="M8" s="6">
        <v>1.002</v>
      </c>
      <c r="N8">
        <v>0</v>
      </c>
      <c r="O8" s="6">
        <v>0.84699999999999998</v>
      </c>
      <c r="P8">
        <v>0</v>
      </c>
      <c r="Q8" s="6">
        <v>0.86599999999999999</v>
      </c>
      <c r="R8">
        <v>0</v>
      </c>
      <c r="S8" s="6">
        <v>0.67500000000000004</v>
      </c>
      <c r="T8">
        <v>3</v>
      </c>
      <c r="U8" s="6">
        <f>AVERAGE(K10:K12)</f>
        <v>0.67766666666666675</v>
      </c>
      <c r="V8" s="6">
        <f>STDEV(K10:K12)</f>
        <v>0.12626295313088895</v>
      </c>
      <c r="W8">
        <v>3</v>
      </c>
      <c r="X8" s="6">
        <f>AVERAGE(M10:M12)</f>
        <v>0.36266666666666669</v>
      </c>
      <c r="Y8" s="6">
        <f>STDEV(M10:M12)</f>
        <v>3.8552993831002719E-2</v>
      </c>
      <c r="Z8">
        <v>3</v>
      </c>
      <c r="AA8" s="6">
        <f>AVERAGE(O10:O12)</f>
        <v>0.16366666666666665</v>
      </c>
      <c r="AB8" s="6">
        <f>STDEV(O10:O12)</f>
        <v>1.1547005383792527E-3</v>
      </c>
      <c r="AC8">
        <v>3</v>
      </c>
      <c r="AD8" s="6">
        <f>AVERAGE(Q10:Q12)</f>
        <v>0.15</v>
      </c>
      <c r="AE8" s="6">
        <f>STDEV(Q10:Q12)</f>
        <v>0</v>
      </c>
      <c r="AF8">
        <v>3</v>
      </c>
      <c r="AG8" s="6">
        <f>AVERAGE(S10:S12)</f>
        <v>0.23833333333333331</v>
      </c>
      <c r="AH8" s="6">
        <f>STDEV(S10:S12)</f>
        <v>4.0501028793517586E-2</v>
      </c>
    </row>
    <row r="9" spans="1:34" x14ac:dyDescent="0.25">
      <c r="B9" s="2"/>
      <c r="D9" s="2"/>
      <c r="F9" s="2"/>
      <c r="H9" s="2"/>
      <c r="I9" s="2"/>
      <c r="J9">
        <v>0</v>
      </c>
      <c r="K9">
        <v>0.78900000000000003</v>
      </c>
      <c r="L9">
        <v>0</v>
      </c>
      <c r="M9" s="6">
        <v>0.80500000000000005</v>
      </c>
      <c r="N9">
        <v>0</v>
      </c>
      <c r="O9" s="6">
        <v>0.85699999999999998</v>
      </c>
      <c r="P9">
        <v>0</v>
      </c>
      <c r="Q9" s="6">
        <v>0.78300000000000003</v>
      </c>
      <c r="R9">
        <v>0</v>
      </c>
      <c r="S9" s="6">
        <v>0.68500000000000005</v>
      </c>
      <c r="T9">
        <v>24</v>
      </c>
      <c r="U9" s="6">
        <f>AVERAGE(K13:K15)</f>
        <v>0.39866666666666667</v>
      </c>
      <c r="V9" s="6">
        <f>STDEV(K13:K15)</f>
        <v>1.1503622617824914E-2</v>
      </c>
      <c r="W9">
        <v>24</v>
      </c>
      <c r="X9" s="6">
        <f>AVERAGE(M13:M15)</f>
        <v>0.23266666666666666</v>
      </c>
      <c r="Y9" s="6">
        <f>STDEV(M13:M15)</f>
        <v>5.3947505348564059E-2</v>
      </c>
      <c r="Z9">
        <v>24</v>
      </c>
      <c r="AA9" s="6">
        <f>AVERAGE(O13:O15)</f>
        <v>0.15</v>
      </c>
      <c r="AB9" s="6">
        <f>STDEV(O13:O15)</f>
        <v>0</v>
      </c>
      <c r="AC9">
        <v>24</v>
      </c>
      <c r="AD9" s="6">
        <f>AVERAGE(Q13:Q15)</f>
        <v>0.15</v>
      </c>
      <c r="AE9" s="6">
        <f>STDEV(Q13:Q15)</f>
        <v>0</v>
      </c>
      <c r="AF9">
        <v>24</v>
      </c>
      <c r="AG9" s="6">
        <f>AVERAGE(S13:S15)</f>
        <v>0.25533333333333336</v>
      </c>
      <c r="AH9" s="6">
        <f>STDEV(S13:S15)</f>
        <v>3.9551653989856356E-2</v>
      </c>
    </row>
    <row r="10" spans="1:34" x14ac:dyDescent="0.25">
      <c r="B10" s="2"/>
      <c r="D10" s="2"/>
      <c r="H10" s="2"/>
      <c r="I10" s="2"/>
      <c r="J10">
        <v>3</v>
      </c>
      <c r="K10" s="6">
        <v>0.72799999999999998</v>
      </c>
      <c r="L10">
        <v>3</v>
      </c>
      <c r="M10" s="6">
        <v>0.31900000000000001</v>
      </c>
      <c r="N10">
        <v>3</v>
      </c>
      <c r="O10" s="6">
        <v>0.16300000000000001</v>
      </c>
      <c r="P10">
        <v>3</v>
      </c>
      <c r="Q10" s="6">
        <v>0.15</v>
      </c>
      <c r="R10">
        <v>3</v>
      </c>
      <c r="S10" s="6">
        <v>0.22800000000000001</v>
      </c>
      <c r="T10" t="s">
        <v>9</v>
      </c>
      <c r="U10" s="6" t="s">
        <v>9</v>
      </c>
      <c r="V10" s="6"/>
      <c r="W10" t="s">
        <v>9</v>
      </c>
      <c r="X10" s="6" t="s">
        <v>9</v>
      </c>
      <c r="Y10" s="6"/>
      <c r="Z10" t="s">
        <v>9</v>
      </c>
      <c r="AA10" s="6" t="s">
        <v>9</v>
      </c>
      <c r="AB10" s="6"/>
      <c r="AC10" t="s">
        <v>9</v>
      </c>
      <c r="AD10" s="6" t="s">
        <v>9</v>
      </c>
      <c r="AE10" s="6"/>
      <c r="AF10" t="s">
        <v>9</v>
      </c>
      <c r="AG10" s="6" t="s">
        <v>9</v>
      </c>
    </row>
    <row r="11" spans="1:34" x14ac:dyDescent="0.25">
      <c r="B11" s="2"/>
      <c r="D11" s="2"/>
      <c r="F11" s="2"/>
      <c r="H11" s="2"/>
      <c r="I11" s="2"/>
      <c r="J11">
        <v>3</v>
      </c>
      <c r="K11" s="6">
        <v>0.77100000000000002</v>
      </c>
      <c r="L11">
        <v>3</v>
      </c>
      <c r="M11" s="6">
        <v>0.39200000000000002</v>
      </c>
      <c r="N11">
        <v>3</v>
      </c>
      <c r="O11" s="6">
        <v>0.16300000000000001</v>
      </c>
      <c r="P11">
        <v>3</v>
      </c>
      <c r="Q11" s="6">
        <v>0.15</v>
      </c>
      <c r="R11">
        <v>3</v>
      </c>
      <c r="S11" s="6">
        <v>0.20399999999999999</v>
      </c>
      <c r="U11" t="s">
        <v>17</v>
      </c>
    </row>
    <row r="12" spans="1:34" x14ac:dyDescent="0.25">
      <c r="B12" s="2"/>
      <c r="D12" s="2"/>
      <c r="F12" s="2"/>
      <c r="H12" s="2"/>
      <c r="I12" s="2"/>
      <c r="J12">
        <v>3</v>
      </c>
      <c r="K12" s="6">
        <v>0.53400000000000003</v>
      </c>
      <c r="L12">
        <v>3</v>
      </c>
      <c r="M12" s="6">
        <v>0.377</v>
      </c>
      <c r="N12">
        <v>3</v>
      </c>
      <c r="O12" s="6">
        <v>0.16500000000000001</v>
      </c>
      <c r="P12">
        <v>3</v>
      </c>
      <c r="Q12" s="6">
        <v>0.15</v>
      </c>
      <c r="R12">
        <v>3</v>
      </c>
      <c r="S12" s="6">
        <v>0.28299999999999997</v>
      </c>
      <c r="U12">
        <f>(U$7-U8)/U$7*100</f>
        <v>16.646166461664613</v>
      </c>
      <c r="X12">
        <f>(X$7-X8)/X$7*100</f>
        <v>57.013038324772815</v>
      </c>
      <c r="AB12">
        <f>(AB$7-AB8)/AB$7*100</f>
        <v>80</v>
      </c>
      <c r="AD12">
        <f>(AD$7-AD8)/AD$7*100</f>
        <v>82.332155477031804</v>
      </c>
      <c r="AG12">
        <f>(AG$7-AG8)/AG$7*100</f>
        <v>66.790524849047856</v>
      </c>
    </row>
    <row r="13" spans="1:34" x14ac:dyDescent="0.25">
      <c r="B13" s="2"/>
      <c r="D13" s="2"/>
      <c r="F13" s="2"/>
      <c r="H13" s="2"/>
      <c r="I13" s="2"/>
      <c r="J13">
        <v>24</v>
      </c>
      <c r="K13" s="6">
        <v>0.38700000000000001</v>
      </c>
      <c r="L13">
        <v>24</v>
      </c>
      <c r="M13" s="6">
        <v>0.17299999999999999</v>
      </c>
      <c r="N13">
        <v>24</v>
      </c>
      <c r="O13" s="6">
        <v>0.15</v>
      </c>
      <c r="P13">
        <v>24</v>
      </c>
      <c r="Q13" s="6">
        <v>0.15</v>
      </c>
      <c r="R13">
        <v>24</v>
      </c>
      <c r="S13" s="6">
        <v>0.217</v>
      </c>
      <c r="U13">
        <f>(U$7-U9)/U$7*100</f>
        <v>50.963509635096351</v>
      </c>
      <c r="X13">
        <f>(X$7-X9)/X$7*100</f>
        <v>72.421967601738444</v>
      </c>
      <c r="AB13">
        <f>(AB$7-AB9)/AB$7*100</f>
        <v>100</v>
      </c>
      <c r="AD13">
        <f>(AD$7-AD9)/AD$7*100</f>
        <v>82.332155477031804</v>
      </c>
      <c r="AG13">
        <f>(AG$7-AG9)/AG$7*100</f>
        <v>64.4217371110079</v>
      </c>
    </row>
    <row r="14" spans="1:34" x14ac:dyDescent="0.25">
      <c r="B14" s="2"/>
      <c r="D14" s="2"/>
      <c r="F14" s="2"/>
      <c r="H14" s="2"/>
      <c r="I14" s="2"/>
      <c r="J14">
        <v>24</v>
      </c>
      <c r="K14" s="6">
        <v>0.41</v>
      </c>
      <c r="L14">
        <v>24</v>
      </c>
      <c r="M14" s="6">
        <v>0.27800000000000002</v>
      </c>
      <c r="N14">
        <v>24</v>
      </c>
      <c r="O14" s="6">
        <v>0.15</v>
      </c>
      <c r="P14">
        <v>24</v>
      </c>
      <c r="Q14" s="6">
        <v>0.15</v>
      </c>
      <c r="R14">
        <v>24</v>
      </c>
      <c r="S14" s="6">
        <v>0.253</v>
      </c>
    </row>
    <row r="15" spans="1:34" x14ac:dyDescent="0.25">
      <c r="B15" s="2"/>
      <c r="D15" s="2"/>
      <c r="F15" s="4"/>
      <c r="H15" s="4"/>
      <c r="I15" s="4"/>
      <c r="J15">
        <v>24</v>
      </c>
      <c r="K15" s="6">
        <v>0.39900000000000002</v>
      </c>
      <c r="L15">
        <v>24</v>
      </c>
      <c r="M15" s="6">
        <v>0.247</v>
      </c>
      <c r="N15">
        <v>24</v>
      </c>
      <c r="O15" s="6">
        <v>0.15</v>
      </c>
      <c r="P15">
        <v>24</v>
      </c>
      <c r="Q15" s="6">
        <v>0.15</v>
      </c>
      <c r="R15">
        <v>24</v>
      </c>
      <c r="S15" s="6">
        <v>0.29599999999999999</v>
      </c>
    </row>
  </sheetData>
  <conditionalFormatting sqref="B7:B15">
    <cfRule type="cellIs" dxfId="4" priority="62" operator="lessThan">
      <formula>0</formula>
    </cfRule>
  </conditionalFormatting>
  <conditionalFormatting sqref="D7:D15">
    <cfRule type="cellIs" dxfId="3" priority="53" operator="lessThan">
      <formula>0</formula>
    </cfRule>
  </conditionalFormatting>
  <conditionalFormatting sqref="F7:F9">
    <cfRule type="cellIs" dxfId="2" priority="50" operator="lessThan">
      <formula>0</formula>
    </cfRule>
  </conditionalFormatting>
  <conditionalFormatting sqref="F11:F15">
    <cfRule type="cellIs" dxfId="1" priority="45" operator="lessThan">
      <formula>0</formula>
    </cfRule>
  </conditionalFormatting>
  <conditionalFormatting sqref="H7:I15">
    <cfRule type="cellIs" dxfId="0" priority="36" operator="lessThan">
      <formula>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Hondzo</dc:creator>
  <cp:lastModifiedBy>Miki Hondzo</cp:lastModifiedBy>
  <dcterms:created xsi:type="dcterms:W3CDTF">2025-11-01T14:33:31Z</dcterms:created>
  <dcterms:modified xsi:type="dcterms:W3CDTF">2025-11-20T22:18:07Z</dcterms:modified>
</cp:coreProperties>
</file>